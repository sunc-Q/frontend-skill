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edger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%"/>
    <numFmt numFmtId="166" formatCode="#,##0;(#,##0);-"/>
    <numFmt numFmtId="167" formatCode="#,##0.0;(#,##0.0);-"/>
    <numFmt numFmtId="168" formatCode="0.0;(0.0);-"/>
    <numFmt numFmtId="169" formatCode="0.0%;(0.0%);-"/>
    <numFmt numFmtId="170" formatCode="#,##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color rgb="00000000"/>
    </font>
    <font>
      <name val="Arial"/>
      <color rgb="00008000"/>
    </font>
    <font>
      <name val="Arial"/>
      <b val="1"/>
      <color rgb="00FFFFFF"/>
    </font>
    <font>
      <name val="Arial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49" fontId="4" fillId="0" borderId="0" pivotButton="0" quotePrefix="0" xfId="0"/>
    <xf numFmtId="3" fontId="4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166" fontId="4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6" fontId="5" fillId="0" borderId="0" pivotButton="0" quotePrefix="0" xfId="0"/>
    <xf numFmtId="169" fontId="5" fillId="0" borderId="0" pivotButton="0" quotePrefix="0" xfId="0"/>
    <xf numFmtId="0" fontId="7" fillId="3" borderId="0" pivotButton="0" quotePrefix="0" xfId="0"/>
    <xf numFmtId="3" fontId="6" fillId="0" borderId="0" pivotButton="0" quotePrefix="0" xfId="0"/>
    <xf numFmtId="0" fontId="8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70" fontId="6" fillId="0" borderId="0" pivotButton="0" quotePrefix="0" xfId="0"/>
    <xf numFmtId="49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各轮主产物体积 (KB)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'Ledger'!G1</f>
            </strRef>
          </tx>
          <spPr>
            <a:ln>
              <a:prstDash val="solid"/>
            </a:ln>
          </spPr>
          <cat>
            <numRef>
              <f>'Ledger'!$A$2:$A$9</f>
            </numRef>
          </cat>
          <val>
            <numRef>
              <f>'Ledger'!$G$2:$G$9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xlsx-skill-run9</author>
  </authors>
  <commentList>
    <comment ref="F2" authorId="0" shapeId="0">
      <text>
        <t>来源：demos/20260925-1723-drafter/skill-lab-pipeline-blueprint.html（stat -f%z 实测，2026-09-26）
测量脚本：measure.py</t>
      </text>
    </comment>
    <comment ref="I2" authorId="0" shapeId="0">
      <text>
        <t>空耗时不能写成 =H/60：Excel 与独立引擎都把空单元格当 0，结果得到一个看起来合法的 0.0 而不是空值（第 1 版就踩了，靠 Metrics 分组均值 6.5 vs 真值 13.0 反证）。故显式 IF(H="",…) 守卫。</t>
      </text>
    </comment>
    <comment ref="K2" authorId="0" shapeId="0">
      <text>
        <t>口径：grep -c '\bPASS\b' 于 20260925-1723-drafter 下全部 .log/.txt；含中途被推翻的假 FAIL 前置记录，不等于最终判定数。</t>
      </text>
    </comment>
    <comment ref="F3" authorId="0" shapeId="0">
      <text>
        <t>来源：demos/20260925-1737-ascii-project-dashboard/dashboard.txt（stat -f%z 实测，2026-09-26）
测量脚本：measure.py</t>
      </text>
    </comment>
    <comment ref="I3" authorId="0" shapeId="0">
      <text>
        <t>空耗时不能写成 =H/60：Excel 与独立引擎都把空单元格当 0，结果得到一个看起来合法的 0.0 而不是空值（第 1 版就踩了，靠 Metrics 分组均值 6.5 vs 真值 13.0 反证）。故显式 IF(H="",…) 守卫。</t>
      </text>
    </comment>
    <comment ref="K3" authorId="0" shapeId="0">
      <text>
        <t>口径：grep -c '\bPASS\b' 于 20260925-1737-ascii-project-dashboard 下全部 .log/.txt；含中途被推翻的假 FAIL 前置记录，不等于最终判定数。</t>
      </text>
    </comment>
    <comment ref="F4" authorId="0" shapeId="0">
      <text>
        <t>来源：demos/20260925-1810-algorithmic-art/art-index.html（stat -f%z 实测，2026-09-26）
测量脚本：measure.py</t>
      </text>
    </comment>
    <comment ref="I4" authorId="0" shapeId="0">
      <text>
        <t>空耗时不能写成 =H/60：Excel 与独立引擎都把空单元格当 0，结果得到一个看起来合法的 0.0 而不是空值（第 1 版就踩了，靠 Metrics 分组均值 6.5 vs 真值 13.0 反证）。故显式 IF(H="",…) 守卫。</t>
      </text>
    </comment>
    <comment ref="K4" authorId="0" shapeId="0">
      <text>
        <t>口径：grep -c '\bPASS\b' 于 20260925-1810-algorithmic-art 下全部 .log/.txt；含中途被推翻的假 FAIL 前置记录，不等于最终判定数。</t>
      </text>
    </comment>
    <comment ref="F5" authorId="0" shapeId="0">
      <text>
        <t>来源：demos/20260925-1845-sqlite-database-expert/lab.db（stat -f%z 实测，2026-09-26）
测量脚本：measure.py</t>
      </text>
    </comment>
    <comment ref="I5" authorId="0" shapeId="0">
      <text>
        <t>空耗时不能写成 =H/60：Excel 与独立引擎都把空单元格当 0，结果得到一个看起来合法的 0.0 而不是空值（第 1 版就踩了，靠 Metrics 分组均值 6.5 vs 真值 13.0 反证）。故显式 IF(H="",…) 守卫。</t>
      </text>
    </comment>
    <comment ref="K5" authorId="0" shapeId="0">
      <text>
        <t>口径：grep -c '\bPASS\b' 于 20260925-1845-sqlite-database-expert 下全部 .log/.txt；含中途被推翻的假 FAIL 前置记录，不等于最终判定数。</t>
      </text>
    </comment>
    <comment ref="F6" authorId="0" shapeId="0">
      <text>
        <t>来源：demos/20260925-1906-ppt-generator/skill-showcase-pixel-retro.pptx（stat -f%z 实测，2026-09-26）
测量脚本：measure.py</t>
      </text>
    </comment>
    <comment ref="I6" authorId="0" shapeId="0">
      <text>
        <t>空耗时不能写成 =H/60：Excel 与独立引擎都把空单元格当 0，结果得到一个看起来合法的 0.0 而不是空值（第 1 版就踩了，靠 Metrics 分组均值 6.5 vs 真值 13.0 反证）。故显式 IF(H="",…) 守卫。</t>
      </text>
    </comment>
    <comment ref="K6" authorId="0" shapeId="0">
      <text>
        <t>口径：grep -c '\bPASS\b' 于 20260925-1906-ppt-generator 下全部 .log/.txt；含中途被推翻的假 FAIL 前置记录，不等于最终判定数。</t>
      </text>
    </comment>
    <comment ref="F7" authorId="0" shapeId="0">
      <text>
        <t>来源：demos/20260925-1950-graphic-gif/animation.gif（stat -f%z 实测，2026-09-26）
测量脚本：measure.py</t>
      </text>
    </comment>
    <comment ref="I7" authorId="0" shapeId="0">
      <text>
        <t>空耗时不能写成 =H/60：Excel 与独立引擎都把空单元格当 0，结果得到一个看起来合法的 0.0 而不是空值（第 1 版就踩了，靠 Metrics 分组均值 6.5 vs 真值 13.0 反证）。故显式 IF(H="",…) 守卫。</t>
      </text>
    </comment>
    <comment ref="K7" authorId="0" shapeId="0">
      <text>
        <t>口径：grep -c '\bPASS\b' 于 20260925-1950-graphic-gif 下全部 .log/.txt；含中途被推翻的假 FAIL 前置记录，不等于最终判定数。</t>
      </text>
    </comment>
    <comment ref="F8" authorId="0" shapeId="0">
      <text>
        <t>来源：demos/20260925-2332-build-game/frostlight-gather.html（stat -f%z 实测，2026-09-26）
测量脚本：measure.py</t>
      </text>
    </comment>
    <comment ref="I8" authorId="0" shapeId="0">
      <text>
        <t>空耗时不能写成 =H/60：Excel 与独立引擎都把空单元格当 0，结果得到一个看起来合法的 0.0 而不是空值（第 1 版就踩了，靠 Metrics 分组均值 6.5 vs 真值 13.0 反证）。故显式 IF(H="",…) 守卫。</t>
      </text>
    </comment>
    <comment ref="K8" authorId="0" shapeId="0">
      <text>
        <t>口径：grep -c '\bPASS\b' 于 20260925-2332-build-game 下全部 .log/.txt；含中途被推翻的假 FAIL 前置记录，不等于最终判定数。</t>
      </text>
    </comment>
    <comment ref="F9" authorId="0" shapeId="0">
      <text>
        <t>来源：demos/20260926-0000-sec-audit-cn/SECURITY-AUDIT.md（stat -f%z 实测，2026-09-26）
测量脚本：measure.py</t>
      </text>
    </comment>
    <comment ref="H9" authorId="0" shapeId="0">
      <text>
        <t>state.json runs[8].seconds 缺记录，留空而不是估算；依赖它的公式用 IFERROR 兜底。</t>
      </text>
    </comment>
    <comment ref="I9" authorId="0" shapeId="0">
      <text>
        <t>空耗时不能写成 =H/60：Excel 与独立引擎都把空单元格当 0，结果得到一个看起来合法的 0.0 而不是空值（第 1 版就踩了，靠 Metrics 分组均值 6.5 vs 真值 13.0 反证）。故显式 IF(H="",…) 守卫。</t>
      </text>
    </comment>
    <comment ref="K9" authorId="0" shapeId="0">
      <text>
        <t>口径：grep -c '\bPASS\b' 于 20260926-0000-sec-audit-cn 下全部 .log/.txt；含中途被推翻的假 FAIL 前置记录，不等于最终判定数。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26" customWidth="1" min="4" max="4"/>
    <col width="20" customWidth="1" min="5" max="5"/>
  </cols>
  <sheetData>
    <row r="1">
      <c r="A1" s="1" t="inlineStr">
        <is>
          <t>Skill 快速验证流水线 · 台账工作簿</t>
        </is>
      </c>
    </row>
    <row r="3">
      <c r="A3" s="2" t="inlineStr">
        <is>
          <t>生成方式</t>
        </is>
      </c>
      <c r="B3" s="3" t="inlineStr">
        <is>
          <t>.skills/anthropic-skills/skills/xlsx（anthropics/skills）+ openpyxl 3.1.5；脚本 build_xlsx.py</t>
        </is>
      </c>
    </row>
    <row r="4">
      <c r="A4" s="2" t="inlineStr">
        <is>
          <t>数据口径</t>
        </is>
      </c>
      <c r="B4" s="3" t="inlineStr">
        <is>
          <t>Run Ledger!F 主产物字节＝stat -f%z 实测；K/L 日志 PASS/FAIL 标记数＝grep -c 实测（含中途被推翻的假 FAIL）；H 耗时秒取自 state.json runs[].seconds</t>
        </is>
      </c>
    </row>
    <row r="5">
      <c r="A5" s="2" t="inlineStr">
        <is>
          <t>编辑指引</t>
        </is>
      </c>
      <c r="B5" s="3" t="inlineStr">
        <is>
          <t>只有蓝色（F/H/K/L/O）与黄色底纹单元格是输入，其余黑色公式与绿色跨表引用请保持不动；改输入后整表自动重算</t>
        </is>
      </c>
    </row>
    <row r="6">
      <c r="A6" s="2" t="inlineStr">
        <is>
          <t>公式约定</t>
        </is>
      </c>
      <c r="B6" s="3" t="inlineStr">
        <is>
          <t>只用 Excel-2007 时代函数（SUM/SUMIFS/COUNTIF/AVERAGEIF/INDEX/MATCH/IFERROR/MAX/MIN/ROUND），不用 XLOOKUP/FILTER/SORT/UNIQUE，不加 _xlfn 前缀函数</t>
        </is>
      </c>
    </row>
    <row r="7">
      <c r="A7" s="2" t="inlineStr">
        <is>
          <t>本机限制</t>
        </is>
      </c>
      <c r="B7" s="3" t="inlineStr">
        <is>
          <t>技能自带的 scripts/recalc.py 需要 LibreOffice，本机无 soffice；本文件公式值由纯 Python 引擎 formulas 1.3.4 独立重算核对（见 verify_recalc.py 与 output.log）</t>
        </is>
      </c>
    </row>
    <row r="9">
      <c r="A9" s="2" t="inlineStr">
        <is>
          <t>图例</t>
        </is>
      </c>
    </row>
    <row r="10">
      <c r="A10" s="4" t="inlineStr">
        <is>
          <t>蓝色字体 = 硬编码输入</t>
        </is>
      </c>
    </row>
    <row r="11">
      <c r="A11" s="5" t="inlineStr">
        <is>
          <t>黑色字体 = 公式</t>
        </is>
      </c>
    </row>
    <row r="12">
      <c r="A12" s="6" t="inlineStr">
        <is>
          <t>绿色字体 = 跨表链接</t>
        </is>
      </c>
    </row>
    <row r="13">
      <c r="A13" s="5" t="inlineStr">
        <is>
          <t>黄色底纹 = 本工作簿留给读者的待填假设格</t>
        </is>
      </c>
      <c r="B13" s="7" t="n">
        <v>900</v>
      </c>
      <c r="C13" s="4" t="inlineStr">
        <is>
          <t>预算基准（秒/轮）；来源：本任务提示词「15 分钟内出产物」= 900 秒</t>
        </is>
      </c>
    </row>
    <row r="15">
      <c r="A15" s="2" t="inlineStr">
        <is>
          <t>示例行（真实数据，展示格式）</t>
        </is>
      </c>
      <c r="B15" s="8" t="inlineStr">
        <is>
          <t>2026-09-26</t>
        </is>
      </c>
      <c r="C15" s="9" t="n">
        <v>1140</v>
      </c>
      <c r="D15" s="10">
        <f>C15/60</f>
        <v/>
      </c>
      <c r="E15" s="1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4" customWidth="1" min="4" max="4"/>
    <col width="30" customWidth="1" min="5" max="5"/>
    <col width="14" customWidth="1" min="6" max="6"/>
    <col width="12" customWidth="1" min="7" max="7"/>
    <col width="10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6" customWidth="1" min="16" max="16"/>
    <col width="52" customWidth="1" min="17" max="17"/>
  </cols>
  <sheetData>
    <row r="1">
      <c r="A1" s="12" t="inlineStr">
        <is>
          <t>轮次</t>
        </is>
      </c>
      <c r="B1" s="12" t="inlineStr">
        <is>
          <t>日期</t>
        </is>
      </c>
      <c r="C1" s="12" t="inlineStr">
        <is>
          <t>技能</t>
        </is>
      </c>
      <c r="D1" s="12" t="inlineStr">
        <is>
          <t>来源</t>
        </is>
      </c>
      <c r="E1" s="12" t="inlineStr">
        <is>
          <t>产物类别</t>
        </is>
      </c>
      <c r="F1" s="12" t="inlineStr">
        <is>
          <t>主产物 (B)</t>
        </is>
      </c>
      <c r="G1" s="12" t="inlineStr">
        <is>
          <t>主产物 (KB)</t>
        </is>
      </c>
      <c r="H1" s="12" t="inlineStr">
        <is>
          <t>耗时 (s)</t>
        </is>
      </c>
      <c r="I1" s="12" t="inlineStr">
        <is>
          <t>耗时 (min)</t>
        </is>
      </c>
      <c r="J1" s="12" t="inlineStr">
        <is>
          <t>B/s</t>
        </is>
      </c>
      <c r="K1" s="12" t="inlineStr">
        <is>
          <t>日志 PASS 标记</t>
        </is>
      </c>
      <c r="L1" s="12" t="inlineStr">
        <is>
          <t>日志 FAIL 标记</t>
        </is>
      </c>
      <c r="M1" s="12" t="inlineStr">
        <is>
          <t>验证标记合计</t>
        </is>
      </c>
      <c r="N1" s="12" t="inlineStr">
        <is>
          <t>PASS 占比</t>
        </is>
      </c>
      <c r="O1" s="12" t="inlineStr">
        <is>
          <t>本轮新装技能</t>
        </is>
      </c>
      <c r="P1" s="12" t="inlineStr">
        <is>
          <t>结论</t>
        </is>
      </c>
      <c r="Q1" s="12" t="inlineStr">
        <is>
          <t>主产物路径</t>
        </is>
      </c>
    </row>
    <row r="2">
      <c r="A2" s="4" t="n">
        <v>1</v>
      </c>
      <c r="B2" s="8" t="inlineStr">
        <is>
          <t>2026-09-25</t>
        </is>
      </c>
      <c r="C2" s="4" t="inlineStr">
        <is>
          <t>drafter</t>
        </is>
      </c>
      <c r="D2" s="4" t="inlineStr">
        <is>
          <t>官方市场</t>
        </is>
      </c>
      <c r="E2" s="4" t="inlineStr">
        <is>
          <t>工程图纸 HTML</t>
        </is>
      </c>
      <c r="F2" s="13" t="n">
        <v>15146</v>
      </c>
      <c r="G2" s="14">
        <f>F2/1024</f>
        <v/>
      </c>
      <c r="H2" s="13" t="n">
        <v>420</v>
      </c>
      <c r="I2" s="15">
        <f>IF(H2="","",H2/60)</f>
        <v/>
      </c>
      <c r="J2" s="16">
        <f>IFERROR(F2/H2,"")</f>
        <v/>
      </c>
      <c r="K2" s="13" t="n">
        <v>34</v>
      </c>
      <c r="L2" s="13" t="n">
        <v>4</v>
      </c>
      <c r="M2" s="16">
        <f>K2+L2</f>
        <v/>
      </c>
      <c r="N2" s="17">
        <f>IFERROR(K2/M2,"")</f>
        <v/>
      </c>
      <c r="O2" s="13" t="n">
        <v>1</v>
      </c>
      <c r="P2" s="4" t="inlineStr">
        <is>
          <t>留用</t>
        </is>
      </c>
      <c r="Q2" s="4" t="inlineStr">
        <is>
          <t>demos/20260925-1723-drafter/skill-lab-pipeline-blueprint.html</t>
        </is>
      </c>
    </row>
    <row r="3">
      <c r="A3" s="4" t="n">
        <v>2</v>
      </c>
      <c r="B3" s="8" t="inlineStr">
        <is>
          <t>2026-09-25</t>
        </is>
      </c>
      <c r="C3" s="4" t="inlineStr">
        <is>
          <t>ascii-project-dashboard</t>
        </is>
      </c>
      <c r="D3" s="4" t="inlineStr">
        <is>
          <t>官方市场</t>
        </is>
      </c>
      <c r="E3" s="4" t="inlineStr">
        <is>
          <t>终端 ASCII 看板</t>
        </is>
      </c>
      <c r="F3" s="13" t="n">
        <v>2846</v>
      </c>
      <c r="G3" s="14">
        <f>F3/1024</f>
        <v/>
      </c>
      <c r="H3" s="13" t="n">
        <v>600</v>
      </c>
      <c r="I3" s="15">
        <f>IF(H3="","",H3/60)</f>
        <v/>
      </c>
      <c r="J3" s="16">
        <f>IFERROR(F3/H3,"")</f>
        <v/>
      </c>
      <c r="K3" s="13" t="n">
        <v>20</v>
      </c>
      <c r="L3" s="13" t="n">
        <v>6</v>
      </c>
      <c r="M3" s="16">
        <f>K3+L3</f>
        <v/>
      </c>
      <c r="N3" s="17">
        <f>IFERROR(K3/M3,"")</f>
        <v/>
      </c>
      <c r="O3" s="13" t="n">
        <v>1</v>
      </c>
      <c r="P3" s="4" t="inlineStr">
        <is>
          <t>留用</t>
        </is>
      </c>
      <c r="Q3" s="4" t="inlineStr">
        <is>
          <t>demos/20260925-1737-ascii-project-dashboard/dashboard.txt</t>
        </is>
      </c>
    </row>
    <row r="4">
      <c r="A4" s="4" t="n">
        <v>3</v>
      </c>
      <c r="B4" s="8" t="inlineStr">
        <is>
          <t>2026-09-25</t>
        </is>
      </c>
      <c r="C4" s="4" t="inlineStr">
        <is>
          <t>algorithmic-art</t>
        </is>
      </c>
      <c r="D4" s="4" t="inlineStr">
        <is>
          <t>外部仓库</t>
        </is>
      </c>
      <c r="E4" s="4" t="inlineStr">
        <is>
          <t>生成艺术 HTML</t>
        </is>
      </c>
      <c r="F4" s="13" t="n">
        <v>998549</v>
      </c>
      <c r="G4" s="14">
        <f>F4/1024</f>
        <v/>
      </c>
      <c r="H4" s="13" t="n">
        <v>1140</v>
      </c>
      <c r="I4" s="15">
        <f>IF(H4="","",H4/60)</f>
        <v/>
      </c>
      <c r="J4" s="16">
        <f>IFERROR(F4/H4,"")</f>
        <v/>
      </c>
      <c r="K4" s="13" t="n">
        <v>20</v>
      </c>
      <c r="L4" s="13" t="n">
        <v>0</v>
      </c>
      <c r="M4" s="16">
        <f>K4+L4</f>
        <v/>
      </c>
      <c r="N4" s="17">
        <f>IFERROR(K4/M4,"")</f>
        <v/>
      </c>
      <c r="O4" s="13" t="n">
        <v>0</v>
      </c>
      <c r="P4" s="4" t="inlineStr">
        <is>
          <t>留用</t>
        </is>
      </c>
      <c r="Q4" s="4" t="inlineStr">
        <is>
          <t>demos/20260925-1810-algorithmic-art/art-index.html</t>
        </is>
      </c>
    </row>
    <row r="5">
      <c r="A5" s="4" t="n">
        <v>4</v>
      </c>
      <c r="B5" s="8" t="inlineStr">
        <is>
          <t>2026-09-25</t>
        </is>
      </c>
      <c r="C5" s="4" t="inlineStr">
        <is>
          <t>SQLite-Database-Expert</t>
        </is>
      </c>
      <c r="D5" s="4" t="inlineStr">
        <is>
          <t>本机已装</t>
        </is>
      </c>
      <c r="E5" s="4" t="inlineStr">
        <is>
          <t>SQLite 检索库</t>
        </is>
      </c>
      <c r="F5" s="13" t="n">
        <v>299008</v>
      </c>
      <c r="G5" s="14">
        <f>F5/1024</f>
        <v/>
      </c>
      <c r="H5" s="13" t="n">
        <v>780</v>
      </c>
      <c r="I5" s="15">
        <f>IF(H5="","",H5/60)</f>
        <v/>
      </c>
      <c r="J5" s="16">
        <f>IFERROR(F5/H5,"")</f>
        <v/>
      </c>
      <c r="K5" s="13" t="n">
        <v>14</v>
      </c>
      <c r="L5" s="13" t="n">
        <v>1</v>
      </c>
      <c r="M5" s="16">
        <f>K5+L5</f>
        <v/>
      </c>
      <c r="N5" s="17">
        <f>IFERROR(K5/M5,"")</f>
        <v/>
      </c>
      <c r="O5" s="13" t="n">
        <v>0</v>
      </c>
      <c r="P5" s="4" t="inlineStr">
        <is>
          <t>留用</t>
        </is>
      </c>
      <c r="Q5" s="4" t="inlineStr">
        <is>
          <t>demos/20260925-1845-sqlite-database-expert/lab.db</t>
        </is>
      </c>
    </row>
    <row r="6">
      <c r="A6" s="4" t="n">
        <v>5</v>
      </c>
      <c r="B6" s="8" t="inlineStr">
        <is>
          <t>2026-09-25</t>
        </is>
      </c>
      <c r="C6" s="4" t="inlineStr">
        <is>
          <t>ppt-generator</t>
        </is>
      </c>
      <c r="D6" s="4" t="inlineStr">
        <is>
          <t>官方市场</t>
        </is>
      </c>
      <c r="E6" s="4" t="inlineStr">
        <is>
          <t>幻灯片 PPTX</t>
        </is>
      </c>
      <c r="F6" s="13" t="n">
        <v>48873</v>
      </c>
      <c r="G6" s="14">
        <f>F6/1024</f>
        <v/>
      </c>
      <c r="H6" s="13" t="n">
        <v>600</v>
      </c>
      <c r="I6" s="15">
        <f>IF(H6="","",H6/60)</f>
        <v/>
      </c>
      <c r="J6" s="16">
        <f>IFERROR(F6/H6,"")</f>
        <v/>
      </c>
      <c r="K6" s="13" t="n">
        <v>14</v>
      </c>
      <c r="L6" s="13" t="n">
        <v>0</v>
      </c>
      <c r="M6" s="16">
        <f>K6+L6</f>
        <v/>
      </c>
      <c r="N6" s="17">
        <f>IFERROR(K6/M6,"")</f>
        <v/>
      </c>
      <c r="O6" s="13" t="n">
        <v>1</v>
      </c>
      <c r="P6" s="4" t="inlineStr">
        <is>
          <t>留用</t>
        </is>
      </c>
      <c r="Q6" s="4" t="inlineStr">
        <is>
          <t>demos/20260925-1906-ppt-generator/skill-showcase-pixel-retro.pptx</t>
        </is>
      </c>
    </row>
    <row r="7">
      <c r="A7" s="4" t="n">
        <v>6</v>
      </c>
      <c r="B7" s="8" t="inlineStr">
        <is>
          <t>2026-09-25</t>
        </is>
      </c>
      <c r="C7" s="4" t="inlineStr">
        <is>
          <t>graphic-gif</t>
        </is>
      </c>
      <c r="D7" s="4" t="inlineStr">
        <is>
          <t>官方市场</t>
        </is>
      </c>
      <c r="E7" s="4" t="inlineStr">
        <is>
          <t>动画 GIF</t>
        </is>
      </c>
      <c r="F7" s="13" t="n">
        <v>48293</v>
      </c>
      <c r="G7" s="14">
        <f>F7/1024</f>
        <v/>
      </c>
      <c r="H7" s="13" t="n">
        <v>900</v>
      </c>
      <c r="I7" s="15">
        <f>IF(H7="","",H7/60)</f>
        <v/>
      </c>
      <c r="J7" s="16">
        <f>IFERROR(F7/H7,"")</f>
        <v/>
      </c>
      <c r="K7" s="13" t="n">
        <v>27</v>
      </c>
      <c r="L7" s="13" t="n">
        <v>1</v>
      </c>
      <c r="M7" s="16">
        <f>K7+L7</f>
        <v/>
      </c>
      <c r="N7" s="17">
        <f>IFERROR(K7/M7,"")</f>
        <v/>
      </c>
      <c r="O7" s="13" t="n">
        <v>1</v>
      </c>
      <c r="P7" s="4" t="inlineStr">
        <is>
          <t>留用</t>
        </is>
      </c>
      <c r="Q7" s="4" t="inlineStr">
        <is>
          <t>demos/20260925-1950-graphic-gif/animation.gif</t>
        </is>
      </c>
    </row>
    <row r="8">
      <c r="A8" s="4" t="n">
        <v>7</v>
      </c>
      <c r="B8" s="8" t="inlineStr">
        <is>
          <t>2026-09-25</t>
        </is>
      </c>
      <c r="C8" s="4" t="inlineStr">
        <is>
          <t>build-game</t>
        </is>
      </c>
      <c r="D8" s="4" t="inlineStr">
        <is>
          <t>官方市场</t>
        </is>
      </c>
      <c r="E8" s="4" t="inlineStr">
        <is>
          <t>3D 游戏 HTML</t>
        </is>
      </c>
      <c r="F8" s="13" t="n">
        <v>750620</v>
      </c>
      <c r="G8" s="14">
        <f>F8/1024</f>
        <v/>
      </c>
      <c r="H8" s="13" t="n">
        <v>1440</v>
      </c>
      <c r="I8" s="15">
        <f>IF(H8="","",H8/60)</f>
        <v/>
      </c>
      <c r="J8" s="16">
        <f>IFERROR(F8/H8,"")</f>
        <v/>
      </c>
      <c r="K8" s="13" t="n">
        <v>24</v>
      </c>
      <c r="L8" s="13" t="n">
        <v>1</v>
      </c>
      <c r="M8" s="16">
        <f>K8+L8</f>
        <v/>
      </c>
      <c r="N8" s="17">
        <f>IFERROR(K8/M8,"")</f>
        <v/>
      </c>
      <c r="O8" s="13" t="n">
        <v>1</v>
      </c>
      <c r="P8" s="4" t="inlineStr">
        <is>
          <t>留用·强推荐</t>
        </is>
      </c>
      <c r="Q8" s="4" t="inlineStr">
        <is>
          <t>demos/20260925-2332-build-game/frostlight-gather.html</t>
        </is>
      </c>
    </row>
    <row r="9">
      <c r="A9" s="4" t="n">
        <v>8</v>
      </c>
      <c r="B9" s="8" t="inlineStr">
        <is>
          <t>2026-09-26</t>
        </is>
      </c>
      <c r="C9" s="4" t="inlineStr">
        <is>
          <t>sec-audit-cn</t>
        </is>
      </c>
      <c r="D9" s="4" t="inlineStr">
        <is>
          <t>本机已装</t>
        </is>
      </c>
      <c r="E9" s="4" t="inlineStr">
        <is>
          <t>审计报告 MD</t>
        </is>
      </c>
      <c r="F9" s="13" t="n">
        <v>11247</v>
      </c>
      <c r="G9" s="14">
        <f>F9/1024</f>
        <v/>
      </c>
      <c r="H9" s="13" t="n"/>
      <c r="I9" s="15">
        <f>IF(H9="","",H9/60)</f>
        <v/>
      </c>
      <c r="J9" s="16">
        <f>IFERROR(F9/H9,"")</f>
        <v/>
      </c>
      <c r="K9" s="13" t="n">
        <v>0</v>
      </c>
      <c r="L9" s="13" t="n">
        <v>0</v>
      </c>
      <c r="M9" s="16">
        <f>K9+L9</f>
        <v/>
      </c>
      <c r="N9" s="17">
        <f>IFERROR(K9/M9,"")</f>
        <v/>
      </c>
      <c r="O9" s="13" t="n">
        <v>0</v>
      </c>
      <c r="P9" s="4" t="inlineStr">
        <is>
          <t>留用</t>
        </is>
      </c>
      <c r="Q9" s="4" t="inlineStr">
        <is>
          <t>demos/20260926-0000-sec-audit-cn/SECURITY-AUDIT.md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流水线指标看板（全部为公式，随 Ledger 输入自动重算）</t>
        </is>
      </c>
    </row>
    <row r="2">
      <c r="A2" s="4" t="inlineStr">
        <is>
          <t>蓝色格为唯一手工输入（README!B13 预算基准）；本表无一处硬编码统计值。</t>
        </is>
      </c>
    </row>
    <row r="4">
      <c r="A4" s="18" t="inlineStr">
        <is>
          <t>指标</t>
        </is>
      </c>
      <c r="B4" s="18" t="inlineStr">
        <is>
          <t>值</t>
        </is>
      </c>
      <c r="C4" s="18" t="inlineStr">
        <is>
          <t>公式口径（本表所有值均为公式，无一硬编码）</t>
        </is>
      </c>
    </row>
    <row r="5">
      <c r="A5" s="2" t="inlineStr">
        <is>
          <t>■ 总量</t>
        </is>
      </c>
    </row>
    <row r="6">
      <c r="A6" s="5" t="inlineStr">
        <is>
          <t>已完成轮次</t>
        </is>
      </c>
      <c r="B6" s="19">
        <f>COUNT(Ledger!$A$2:$A$9)</f>
        <v/>
      </c>
      <c r="C6" s="20" t="inlineStr">
        <is>
          <t>=COUNT(Ledger!$A$2:$A$9)</t>
        </is>
      </c>
    </row>
    <row r="7">
      <c r="A7" s="5" t="inlineStr">
        <is>
          <t>主产物合计 (B)</t>
        </is>
      </c>
      <c r="B7" s="21">
        <f>SUM(Ledger!$F$2:$F$9)</f>
        <v/>
      </c>
      <c r="C7" s="20" t="inlineStr">
        <is>
          <t>=SUM(Ledger!$F$2:$F$9)</t>
        </is>
      </c>
    </row>
    <row r="8">
      <c r="A8" s="5" t="inlineStr">
        <is>
          <t>主产物合计 (KB)</t>
        </is>
      </c>
      <c r="B8" s="22">
        <f>SUM(Ledger!$F$2:$F$9)/1024</f>
        <v/>
      </c>
      <c r="C8" s="20" t="inlineStr">
        <is>
          <t>=SUM(Ledger!$F$2:$F$9)/1024</t>
        </is>
      </c>
    </row>
    <row r="9">
      <c r="A9" s="5" t="inlineStr">
        <is>
          <t>单轮平均产物 (KB)</t>
        </is>
      </c>
      <c r="B9" s="23">
        <f>AVERAGE(Ledger!$G$2:$G$9)</f>
        <v/>
      </c>
      <c r="C9" s="20" t="inlineStr">
        <is>
          <t>=AVERAGE(Ledger!$G$2:$G$9)</t>
        </is>
      </c>
    </row>
    <row r="10">
      <c r="A10" s="5" t="inlineStr">
        <is>
          <t>最大单产物 (KB)</t>
        </is>
      </c>
      <c r="B10" s="23">
        <f>MAX(Ledger!$G$2:$G$9)</f>
        <v/>
      </c>
      <c r="C10" s="20" t="inlineStr">
        <is>
          <t>=MAX(Ledger!$G$2:$G$9)</t>
        </is>
      </c>
    </row>
    <row r="11">
      <c r="A11" s="5" t="inlineStr">
        <is>
          <t>最大单产物所属技能</t>
        </is>
      </c>
      <c r="B11" s="24">
        <f>INDEX(Ledger!$C$2:$C$9,MATCH(MAX(Ledger!$F$2:$F$9),Ledger!$F$2:$F$9,0))</f>
        <v/>
      </c>
      <c r="C11" s="20" t="inlineStr">
        <is>
          <t>=INDEX(Ledger!$C$2:$C$9,MATCH(MAX(Ledger!$F$2:$F$9),Ledger!$F$2:$F$9,0))</t>
        </is>
      </c>
    </row>
    <row r="12">
      <c r="A12" s="5" t="inlineStr">
        <is>
          <t>最小单产物所属技能</t>
        </is>
      </c>
      <c r="B12" s="24">
        <f>INDEX(Ledger!$C$2:$C$9,MATCH(MIN(Ledger!$F$2:$F$9),Ledger!$F$2:$F$9,0))</f>
        <v/>
      </c>
      <c r="C12" s="20" t="inlineStr">
        <is>
          <t>=INDEX(Ledger!$C$2:$C$9,MATCH(MIN(Ledger!$F$2:$F$9),Ledger!$F$2:$F$9,0))</t>
        </is>
      </c>
    </row>
    <row r="13">
      <c r="A13" s="2" t="inlineStr">
        <is>
          <t>■ 耗时与预算</t>
        </is>
      </c>
    </row>
    <row r="14">
      <c r="A14" s="5" t="inlineStr">
        <is>
          <t>有耗时记录轮次</t>
        </is>
      </c>
      <c r="B14" s="19">
        <f>COUNT(Ledger!$H$2:$H$9)</f>
        <v/>
      </c>
      <c r="C14" s="20" t="inlineStr">
        <is>
          <t>=COUNT(Ledger!$H$2:$H$9)</t>
        </is>
      </c>
    </row>
    <row r="15">
      <c r="A15" s="5" t="inlineStr">
        <is>
          <t>累计耗时 (min)</t>
        </is>
      </c>
      <c r="B15" s="23">
        <f>SUM(Ledger!$H$2:$H$9)/60</f>
        <v/>
      </c>
      <c r="C15" s="20" t="inlineStr">
        <is>
          <t>=SUM(Ledger!$H$2:$H$9)/60</t>
        </is>
      </c>
    </row>
    <row r="16">
      <c r="A16" s="5" t="inlineStr">
        <is>
          <t>平均单轮耗时 (min)</t>
        </is>
      </c>
      <c r="B16" s="23">
        <f>IFERROR(SUM(Ledger!$H$2:$H$9)/COUNT(Ledger!$H$2:$H$9)/60,"")</f>
        <v/>
      </c>
      <c r="C16" s="20" t="inlineStr">
        <is>
          <t>=IFERROR(SUM(Ledger!$H$2:$H$9)/COUNT(Ledger!$H$2:$H$9)/60,"")</t>
        </is>
      </c>
    </row>
    <row r="17">
      <c r="A17" s="5" t="inlineStr">
        <is>
          <t>超预算轮数 (&gt;预算基准)</t>
        </is>
      </c>
      <c r="B17" s="19">
        <f>COUNTIF(Ledger!$H$2:$H$9,"&gt;"&amp;README!$B$13)</f>
        <v/>
      </c>
      <c r="C17" s="20" t="inlineStr">
        <is>
          <t>=COUNTIF(Ledger!$H$2:$H$9,"&gt;"&amp;README!$B$13)</t>
        </is>
      </c>
    </row>
    <row r="18">
      <c r="A18" s="5" t="inlineStr">
        <is>
          <t>预算基准 (s)</t>
        </is>
      </c>
      <c r="B18" s="19">
        <f>README!$B$13</f>
        <v/>
      </c>
      <c r="C18" s="20" t="inlineStr">
        <is>
          <t>=README!$B$13</t>
        </is>
      </c>
    </row>
    <row r="19">
      <c r="A19" s="5" t="inlineStr">
        <is>
          <t>预算利用率</t>
        </is>
      </c>
      <c r="B19" s="25">
        <f>IFERROR(SUM(Ledger!$H$2:$H$9)/(COUNT(Ledger!$H$2:$H$9)*README!$B$13),"")</f>
        <v/>
      </c>
      <c r="C19" s="20" t="inlineStr">
        <is>
          <t>=IFERROR(SUM(Ledger!$H$2:$H$9)/(COUNT(Ledger!$H$2:$H$9)*README!$B$13),"")</t>
        </is>
      </c>
    </row>
    <row r="20">
      <c r="A20" s="5" t="inlineStr">
        <is>
          <t>最慢轮次技能</t>
        </is>
      </c>
      <c r="B20" s="24">
        <f>INDEX(Ledger!$C$2:$C$9,MATCH(MAX(Ledger!$H$2:$H$9),Ledger!$H$2:$H$9,0))</f>
        <v/>
      </c>
      <c r="C20" s="20" t="inlineStr">
        <is>
          <t>=INDEX(Ledger!$C$2:$C$9,MATCH(MAX(Ledger!$H$2:$H$9),Ledger!$H$2:$H$9,0))</t>
        </is>
      </c>
    </row>
    <row r="21">
      <c r="A21" s="2" t="inlineStr">
        <is>
          <t>■ 验证强度</t>
        </is>
      </c>
    </row>
    <row r="22">
      <c r="A22" s="5" t="inlineStr">
        <is>
          <t>验证标记合计</t>
        </is>
      </c>
      <c r="B22" s="19">
        <f>SUM(Ledger!$M$2:$M$9)</f>
        <v/>
      </c>
      <c r="C22" s="20" t="inlineStr">
        <is>
          <t>=SUM(Ledger!$M$2:$M$9)</t>
        </is>
      </c>
    </row>
    <row r="23">
      <c r="A23" s="5" t="inlineStr">
        <is>
          <t>PASS 标记合计</t>
        </is>
      </c>
      <c r="B23" s="19">
        <f>SUM(Ledger!$K$2:$K$9)</f>
        <v/>
      </c>
      <c r="C23" s="20" t="inlineStr">
        <is>
          <t>=SUM(Ledger!$K$2:$K$9)</t>
        </is>
      </c>
    </row>
    <row r="24">
      <c r="A24" s="5" t="inlineStr">
        <is>
          <t>FAIL 标记合计</t>
        </is>
      </c>
      <c r="B24" s="19">
        <f>SUM(Ledger!$L$2:$L$9)</f>
        <v/>
      </c>
      <c r="C24" s="20" t="inlineStr">
        <is>
          <t>=SUM(Ledger!$L$2:$L$9)</t>
        </is>
      </c>
    </row>
    <row r="25">
      <c r="A25" s="5" t="inlineStr">
        <is>
          <t>总体 PASS 占比</t>
        </is>
      </c>
      <c r="B25" s="25">
        <f>IFERROR(SUM(Ledger!$K$2:$K$9)/SUM(Ledger!$M$2:$M$9),"")</f>
        <v/>
      </c>
      <c r="C25" s="20" t="inlineStr">
        <is>
          <t>=IFERROR(SUM(Ledger!$K$2:$K$9)/SUM(Ledger!$M$2:$M$9),"")</t>
        </is>
      </c>
    </row>
    <row r="26">
      <c r="A26" s="5" t="inlineStr">
        <is>
          <t>每千 KB 产物验证标记</t>
        </is>
      </c>
      <c r="B26" s="26">
        <f>IFERROR(SUM(Ledger!$M$2:$M$9)/(SUM(Ledger!$F$2:$F$9)/1024),"")</f>
        <v/>
      </c>
      <c r="C26" s="20" t="inlineStr">
        <is>
          <t>=IFERROR(SUM(Ledger!$M$2:$M$9)/(SUM(Ledger!$F$2:$F$9)/1024),"")</t>
        </is>
      </c>
    </row>
    <row r="27">
      <c r="A27" s="5" t="inlineStr">
        <is>
          <t>最高 PASS 占比轮次技能</t>
        </is>
      </c>
      <c r="B27" s="24">
        <f>INDEX(Ledger!$C$2:$C$9,MATCH(MAX(Ledger!$N$2:$N$9),Ledger!$N$2:$N$9,0))</f>
        <v/>
      </c>
      <c r="C27" s="20" t="inlineStr">
        <is>
          <t>=INDEX(Ledger!$C$2:$C$9,MATCH(MAX(Ledger!$N$2:$N$9),Ledger!$N$2:$N$9,0))</t>
        </is>
      </c>
    </row>
    <row r="28">
      <c r="A28" s="2" t="inlineStr">
        <is>
          <t>■ 来源结构</t>
        </is>
      </c>
    </row>
    <row r="29">
      <c r="A29" s="18" t="inlineStr">
        <is>
          <t>分组</t>
        </is>
      </c>
      <c r="B29" s="18" t="inlineStr">
        <is>
          <t>轮次数</t>
        </is>
      </c>
      <c r="C29" s="18" t="inlineStr">
        <is>
          <t>产物合计 (KB)</t>
        </is>
      </c>
      <c r="D29" s="18" t="inlineStr">
        <is>
          <t>平均耗时 (min)</t>
        </is>
      </c>
    </row>
    <row r="30">
      <c r="A30" s="6" t="inlineStr">
        <is>
          <t>官方市场</t>
        </is>
      </c>
      <c r="B30" s="19">
        <f>COUNTIF(Ledger!$D$2:$D$9,$A$30)</f>
        <v/>
      </c>
      <c r="C30" s="23">
        <f>SUMIF(Ledger!$D$2:$D$9,$A$30,Ledger!$F$2:$F$9)/1024</f>
        <v/>
      </c>
      <c r="D30" s="23">
        <f>IFERROR(SUMIF(Ledger!$D$2:$D$9,$A$30,Ledger!$H$2:$H$9)/COUNTIFS(Ledger!$D$2:$D$9,$A$30,Ledger!$H$2:$H$9,"&gt;0")/60,"")</f>
        <v/>
      </c>
    </row>
    <row r="31">
      <c r="A31" s="6" t="inlineStr">
        <is>
          <t>外部仓库</t>
        </is>
      </c>
      <c r="B31" s="19">
        <f>COUNTIF(Ledger!$D$2:$D$9,$A$31)</f>
        <v/>
      </c>
      <c r="C31" s="23">
        <f>SUMIF(Ledger!$D$2:$D$9,$A$31,Ledger!$F$2:$F$9)/1024</f>
        <v/>
      </c>
      <c r="D31" s="23">
        <f>IFERROR(SUMIF(Ledger!$D$2:$D$9,$A$31,Ledger!$H$2:$H$9)/COUNTIFS(Ledger!$D$2:$D$9,$A$31,Ledger!$H$2:$H$9,"&gt;0")/60,"")</f>
        <v/>
      </c>
    </row>
    <row r="32">
      <c r="A32" s="6" t="inlineStr">
        <is>
          <t>本机已装</t>
        </is>
      </c>
      <c r="B32" s="19">
        <f>COUNTIF(Ledger!$D$2:$D$9,$A$32)</f>
        <v/>
      </c>
      <c r="C32" s="23">
        <f>SUMIF(Ledger!$D$2:$D$9,$A$32,Ledger!$F$2:$F$9)/1024</f>
        <v/>
      </c>
      <c r="D32" s="23">
        <f>IFERROR(SUMIF(Ledger!$D$2:$D$9,$A$32,Ledger!$H$2:$H$9)/COUNTIFS(Ledger!$D$2:$D$9,$A$32,Ledger!$H$2:$H$9,"&gt;0")/60,"")</f>
        <v/>
      </c>
    </row>
    <row r="33">
      <c r="A33" s="2" t="inlineStr">
        <is>
          <t>■ 产物类别多样性</t>
        </is>
      </c>
    </row>
    <row r="34">
      <c r="A34" s="18" t="inlineStr">
        <is>
          <t>分组</t>
        </is>
      </c>
      <c r="B34" s="18" t="inlineStr">
        <is>
          <t>轮次数</t>
        </is>
      </c>
      <c r="C34" s="18" t="inlineStr">
        <is>
          <t>产物合计 (KB)</t>
        </is>
      </c>
      <c r="D34" s="18" t="inlineStr">
        <is>
          <t>平均耗时 (min)</t>
        </is>
      </c>
    </row>
    <row r="35">
      <c r="A35" s="6" t="inlineStr">
        <is>
          <t>工程图纸 HTML</t>
        </is>
      </c>
      <c r="B35" s="19">
        <f>COUNTIF(Ledger!$E$2:$E$9,$A$35)</f>
        <v/>
      </c>
      <c r="C35" s="23">
        <f>SUMIF(Ledger!$E$2:$E$9,$A$35,Ledger!$F$2:$F$9)/1024</f>
        <v/>
      </c>
      <c r="D35" s="23">
        <f>IFERROR(SUMIF(Ledger!$E$2:$E$9,$A$35,Ledger!$H$2:$H$9)/COUNTIFS(Ledger!$E$2:$E$9,$A$35,Ledger!$H$2:$H$9,"&gt;0")/60,"")</f>
        <v/>
      </c>
    </row>
    <row r="36">
      <c r="A36" s="6" t="inlineStr">
        <is>
          <t>终端 ASCII 看板</t>
        </is>
      </c>
      <c r="B36" s="19">
        <f>COUNTIF(Ledger!$E$2:$E$9,$A$36)</f>
        <v/>
      </c>
      <c r="C36" s="23">
        <f>SUMIF(Ledger!$E$2:$E$9,$A$36,Ledger!$F$2:$F$9)/1024</f>
        <v/>
      </c>
      <c r="D36" s="23">
        <f>IFERROR(SUMIF(Ledger!$E$2:$E$9,$A$36,Ledger!$H$2:$H$9)/COUNTIFS(Ledger!$E$2:$E$9,$A$36,Ledger!$H$2:$H$9,"&gt;0")/60,"")</f>
        <v/>
      </c>
    </row>
    <row r="37">
      <c r="A37" s="6" t="inlineStr">
        <is>
          <t>生成艺术 HTML</t>
        </is>
      </c>
      <c r="B37" s="19">
        <f>COUNTIF(Ledger!$E$2:$E$9,$A$37)</f>
        <v/>
      </c>
      <c r="C37" s="23">
        <f>SUMIF(Ledger!$E$2:$E$9,$A$37,Ledger!$F$2:$F$9)/1024</f>
        <v/>
      </c>
      <c r="D37" s="23">
        <f>IFERROR(SUMIF(Ledger!$E$2:$E$9,$A$37,Ledger!$H$2:$H$9)/COUNTIFS(Ledger!$E$2:$E$9,$A$37,Ledger!$H$2:$H$9,"&gt;0")/60,"")</f>
        <v/>
      </c>
    </row>
    <row r="38">
      <c r="A38" s="6" t="inlineStr">
        <is>
          <t>SQLite 检索库</t>
        </is>
      </c>
      <c r="B38" s="19">
        <f>COUNTIF(Ledger!$E$2:$E$9,$A$38)</f>
        <v/>
      </c>
      <c r="C38" s="23">
        <f>SUMIF(Ledger!$E$2:$E$9,$A$38,Ledger!$F$2:$F$9)/1024</f>
        <v/>
      </c>
      <c r="D38" s="23">
        <f>IFERROR(SUMIF(Ledger!$E$2:$E$9,$A$38,Ledger!$H$2:$H$9)/COUNTIFS(Ledger!$E$2:$E$9,$A$38,Ledger!$H$2:$H$9,"&gt;0")/60,"")</f>
        <v/>
      </c>
    </row>
    <row r="39">
      <c r="A39" s="6" t="inlineStr">
        <is>
          <t>幻灯片 PPTX</t>
        </is>
      </c>
      <c r="B39" s="19">
        <f>COUNTIF(Ledger!$E$2:$E$9,$A$39)</f>
        <v/>
      </c>
      <c r="C39" s="23">
        <f>SUMIF(Ledger!$E$2:$E$9,$A$39,Ledger!$F$2:$F$9)/1024</f>
        <v/>
      </c>
      <c r="D39" s="23">
        <f>IFERROR(SUMIF(Ledger!$E$2:$E$9,$A$39,Ledger!$H$2:$H$9)/COUNTIFS(Ledger!$E$2:$E$9,$A$39,Ledger!$H$2:$H$9,"&gt;0")/60,"")</f>
        <v/>
      </c>
    </row>
    <row r="40">
      <c r="A40" s="6" t="inlineStr">
        <is>
          <t>动画 GIF</t>
        </is>
      </c>
      <c r="B40" s="19">
        <f>COUNTIF(Ledger!$E$2:$E$9,$A$40)</f>
        <v/>
      </c>
      <c r="C40" s="23">
        <f>SUMIF(Ledger!$E$2:$E$9,$A$40,Ledger!$F$2:$F$9)/1024</f>
        <v/>
      </c>
      <c r="D40" s="23">
        <f>IFERROR(SUMIF(Ledger!$E$2:$E$9,$A$40,Ledger!$H$2:$H$9)/COUNTIFS(Ledger!$E$2:$E$9,$A$40,Ledger!$H$2:$H$9,"&gt;0")/60,"")</f>
        <v/>
      </c>
    </row>
    <row r="41">
      <c r="A41" s="6" t="inlineStr">
        <is>
          <t>3D 游戏 HTML</t>
        </is>
      </c>
      <c r="B41" s="19">
        <f>COUNTIF(Ledger!$E$2:$E$9,$A$41)</f>
        <v/>
      </c>
      <c r="C41" s="23">
        <f>SUMIF(Ledger!$E$2:$E$9,$A$41,Ledger!$F$2:$F$9)/1024</f>
        <v/>
      </c>
      <c r="D41" s="23">
        <f>IFERROR(SUMIF(Ledger!$E$2:$E$9,$A$41,Ledger!$H$2:$H$9)/COUNTIFS(Ledger!$E$2:$E$9,$A$41,Ledger!$H$2:$H$9,"&gt;0")/60,"")</f>
        <v/>
      </c>
    </row>
    <row r="42">
      <c r="A42" s="6" t="inlineStr">
        <is>
          <t>审计报告 MD</t>
        </is>
      </c>
      <c r="B42" s="19">
        <f>COUNTIF(Ledger!$E$2:$E$9,$A$42)</f>
        <v/>
      </c>
      <c r="C42" s="23">
        <f>SUMIF(Ledger!$E$2:$E$9,$A$42,Ledger!$F$2:$F$9)/1024</f>
        <v/>
      </c>
      <c r="D42" s="23">
        <f>IFERROR(SUMIF(Ledger!$E$2:$E$9,$A$42,Ledger!$H$2:$H$9)/COUNTIFS(Ledger!$E$2:$E$9,$A$42,Ledger!$H$2:$H$9,"&gt;0")/60,"")</f>
        <v/>
      </c>
    </row>
    <row r="43">
      <c r="A43" s="2" t="inlineStr">
        <is>
          <t>■ 留用结论</t>
        </is>
      </c>
    </row>
    <row r="44">
      <c r="A44" s="5" t="inlineStr">
        <is>
          <t>留用轮次</t>
        </is>
      </c>
      <c r="B44" s="19">
        <f>COUNTIF(Ledger!$P$2:$P$9,"留用*")</f>
        <v/>
      </c>
      <c r="C44" s="20" t="inlineStr">
        <is>
          <t>=COUNTIF(Ledger!$P$2:$P$9,"留用*")</t>
        </is>
      </c>
    </row>
    <row r="45">
      <c r="A45" s="5" t="inlineStr">
        <is>
          <t>非留用轮次</t>
        </is>
      </c>
      <c r="B45" s="19">
        <f>COUNTIF(Ledger!$P$2:$P$9,"一般")+COUNTIF(Ledger!$P$2:$P$9,"不推荐")</f>
        <v/>
      </c>
      <c r="C45" s="20" t="inlineStr">
        <is>
          <t>=COUNTIF(Ledger!$P$2:$P$9,"一般")+COUNTIF(Ledger!$P$2:$P$9,"不推荐")</t>
        </is>
      </c>
    </row>
    <row r="46">
      <c r="A46" s="5" t="inlineStr">
        <is>
          <t>本轮新装技能数</t>
        </is>
      </c>
      <c r="B46" s="19">
        <f>SUM(Ledger!$O$2:$O$9)</f>
        <v/>
      </c>
      <c r="C46" s="20" t="inlineStr">
        <is>
          <t>=SUM(Ledger!$O$2:$O$9)</t>
        </is>
      </c>
    </row>
    <row r="47">
      <c r="A47" s="5" t="inlineStr">
        <is>
          <t>零安装轮次数</t>
        </is>
      </c>
      <c r="B47" s="19">
        <f>COUNTIF(Ledger!$O$2:$O$9,0)</f>
        <v/>
      </c>
      <c r="C47" s="20" t="inlineStr">
        <is>
          <t>=COUNTIF(Ledger!$O$2:$O$9,0)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2026-09-26T02:07:18Z</dcterms:created>
  <dcterms:modified xsi:type="dcterms:W3CDTF">2026-09-26T02:07:18Z</dcterms:modified>
</cp:coreProperties>
</file>